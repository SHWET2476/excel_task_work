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F7B2645F-92AC-44E2-933D-BA4A54387E4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Ta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5" i="2" l="1"/>
  <c r="F60" i="2"/>
  <c r="F7" i="2"/>
  <c r="F71" i="2"/>
  <c r="F70" i="2"/>
  <c r="F69" i="2"/>
  <c r="F68" i="2"/>
  <c r="F67" i="2"/>
  <c r="F66" i="2"/>
  <c r="F64" i="2"/>
  <c r="F63" i="2"/>
  <c r="F62" i="2"/>
  <c r="F61" i="2"/>
  <c r="F58" i="2"/>
  <c r="F57" i="2"/>
  <c r="F56" i="2"/>
  <c r="F54" i="2"/>
  <c r="F52" i="2"/>
  <c r="F51" i="2"/>
  <c r="F50" i="2"/>
  <c r="F49" i="2"/>
  <c r="F48" i="2"/>
  <c r="F46" i="2"/>
  <c r="F45" i="2"/>
  <c r="F44" i="2"/>
  <c r="F43" i="2"/>
  <c r="F42" i="2"/>
  <c r="F39" i="2"/>
  <c r="F37" i="2"/>
  <c r="F35" i="2"/>
  <c r="F31" i="2"/>
  <c r="F33" i="2"/>
  <c r="F29" i="2"/>
  <c r="F28" i="2"/>
  <c r="F27" i="2"/>
  <c r="F26" i="2"/>
  <c r="F25" i="2"/>
  <c r="F23" i="2"/>
  <c r="F22" i="2"/>
  <c r="F21" i="2"/>
  <c r="F20" i="2"/>
  <c r="F19" i="2"/>
  <c r="F17" i="2"/>
  <c r="F16" i="2"/>
  <c r="F15" i="2"/>
  <c r="F14" i="2"/>
  <c r="F13" i="2"/>
  <c r="F11" i="2"/>
  <c r="F10" i="2"/>
  <c r="F9" i="2"/>
  <c r="F8" i="2"/>
  <c r="H32" i="1"/>
  <c r="H31" i="1"/>
  <c r="H29" i="1"/>
  <c r="H27" i="1"/>
  <c r="H25" i="1"/>
  <c r="H23" i="1"/>
  <c r="H21" i="1"/>
  <c r="H19" i="1"/>
  <c r="H17" i="1"/>
  <c r="H15" i="1"/>
  <c r="H14" i="1"/>
  <c r="H10" i="1"/>
  <c r="H7" i="1"/>
  <c r="H5" i="1"/>
  <c r="H12" i="1" s="1"/>
  <c r="F5" i="1"/>
</calcChain>
</file>

<file path=xl/sharedStrings.xml><?xml version="1.0" encoding="utf-8"?>
<sst xmlns="http://schemas.openxmlformats.org/spreadsheetml/2006/main" count="97" uniqueCount="78">
  <si>
    <t xml:space="preserve">Method </t>
  </si>
  <si>
    <t xml:space="preserve">Value </t>
  </si>
  <si>
    <t>Output</t>
  </si>
  <si>
    <t>CHAR</t>
  </si>
  <si>
    <t>join/concat</t>
  </si>
  <si>
    <t>ARC</t>
  </si>
  <si>
    <t xml:space="preserve"> </t>
  </si>
  <si>
    <t>shwet</t>
  </si>
  <si>
    <t>clean</t>
  </si>
  <si>
    <t>shwet- Arc</t>
  </si>
  <si>
    <t>EXACT</t>
  </si>
  <si>
    <t>Find</t>
  </si>
  <si>
    <t>FIND("h",F14,2)</t>
  </si>
  <si>
    <t>Left</t>
  </si>
  <si>
    <t>search</t>
  </si>
  <si>
    <t>right</t>
  </si>
  <si>
    <t>mid</t>
  </si>
  <si>
    <t>lower</t>
  </si>
  <si>
    <t>upper</t>
  </si>
  <si>
    <t>length</t>
  </si>
  <si>
    <t>replace</t>
  </si>
  <si>
    <t>Method Name</t>
  </si>
  <si>
    <t xml:space="preserve">Trim </t>
  </si>
  <si>
    <t>Formula</t>
  </si>
  <si>
    <t>Example</t>
  </si>
  <si>
    <t>Excel</t>
  </si>
  <si>
    <t xml:space="preserve">    Shwet</t>
  </si>
  <si>
    <t xml:space="preserve"> Data Analyst </t>
  </si>
  <si>
    <t xml:space="preserve">  Shwet Domde</t>
  </si>
  <si>
    <t>Proper</t>
  </si>
  <si>
    <t>TRIM("text")</t>
  </si>
  <si>
    <t>PROPER("text")</t>
  </si>
  <si>
    <t>excel</t>
  </si>
  <si>
    <t>data analyst</t>
  </si>
  <si>
    <t>shwet domde</t>
  </si>
  <si>
    <t>nagpur city</t>
  </si>
  <si>
    <t>machine learning</t>
  </si>
  <si>
    <t>SUBSTITUTE</t>
  </si>
  <si>
    <t>New Text</t>
  </si>
  <si>
    <t>Orange</t>
  </si>
  <si>
    <t>Apple juice</t>
  </si>
  <si>
    <t>Old Text</t>
  </si>
  <si>
    <t>Apple</t>
  </si>
  <si>
    <t>Banana</t>
  </si>
  <si>
    <t>strawberry</t>
  </si>
  <si>
    <t>mango</t>
  </si>
  <si>
    <t>grapes</t>
  </si>
  <si>
    <t>SUBSTITUTE(text,old_text,new_text,instance num)</t>
  </si>
  <si>
    <t>Instance Num  1 = Apple , 2 = juice</t>
  </si>
  <si>
    <t>REPT</t>
  </si>
  <si>
    <t>REPT(text,number_times)</t>
  </si>
  <si>
    <t>Hi</t>
  </si>
  <si>
    <t>*</t>
  </si>
  <si>
    <t xml:space="preserve">Excel </t>
  </si>
  <si>
    <t>A</t>
  </si>
  <si>
    <t>Go</t>
  </si>
  <si>
    <t>TEXTJOIN</t>
  </si>
  <si>
    <t>TEXTJOIN(delimiter, ignore_empty, text1, text2, ...)</t>
  </si>
  <si>
    <t>Data</t>
  </si>
  <si>
    <t>Analyst</t>
  </si>
  <si>
    <t>B</t>
  </si>
  <si>
    <t>CHAR(number)</t>
  </si>
  <si>
    <t>DOLLAR</t>
  </si>
  <si>
    <t>DOLLAR(number, decimals)</t>
  </si>
  <si>
    <t>FIXED</t>
  </si>
  <si>
    <t>FIXED(number, decimals)</t>
  </si>
  <si>
    <t>TEXT BEFORE</t>
  </si>
  <si>
    <t>TEXTBEFORE(text, delimiter)</t>
  </si>
  <si>
    <t>shwet-Arc</t>
  </si>
  <si>
    <t>apple,mango</t>
  </si>
  <si>
    <t>helllo world</t>
  </si>
  <si>
    <t>Data-Science</t>
  </si>
  <si>
    <t>Business-Analyst</t>
  </si>
  <si>
    <t>UNICHAR</t>
  </si>
  <si>
    <t>UNICHAR(number)</t>
  </si>
  <si>
    <t>SR.NO</t>
  </si>
  <si>
    <t>SHWET DOMDE</t>
  </si>
  <si>
    <t xml:space="preserve">Hello  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</si>
</sst>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Fill="1" applyBorder="1"/>
    <xf numFmtId="0" fontId="1" fillId="0" borderId="0" xfId="0" applyFont="1"/>
    <xf numFmtId="0" fontId="0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/>
    <xf numFmtId="14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H32"/>
  <sheetViews>
    <sheetView topLeftCell="A15" workbookViewId="0">
      <selection activeCell="O28" sqref="O28"/>
    </sheetView>
  </sheetViews>
  <sheetFormatPr defaultRowHeight="14.4" x14ac:dyDescent="0.3"/>
  <cols>
    <col min="6" max="6" width="13.5546875" bestFit="1" customWidth="1"/>
    <col min="8" max="8" width="11.88671875" bestFit="1" customWidth="1"/>
  </cols>
  <sheetData>
    <row r="4" spans="4:8" x14ac:dyDescent="0.3">
      <c r="D4" t="s">
        <v>0</v>
      </c>
      <c r="F4" t="s">
        <v>1</v>
      </c>
      <c r="H4" t="s">
        <v>2</v>
      </c>
    </row>
    <row r="5" spans="4:8" ht="28.8" x14ac:dyDescent="0.3">
      <c r="D5" t="s">
        <v>3</v>
      </c>
      <c r="F5" t="str">
        <f>CHAR(72)</f>
        <v>H</v>
      </c>
      <c r="H5" s="1" t="str">
        <f>_xlfn.CONCAT(F8,CHAR(10)," -  ",F7)</f>
        <v>shwet
 -  ARC</v>
      </c>
    </row>
    <row r="7" spans="4:8" x14ac:dyDescent="0.3">
      <c r="D7" t="s">
        <v>4</v>
      </c>
      <c r="F7" t="s">
        <v>5</v>
      </c>
      <c r="G7" t="s">
        <v>6</v>
      </c>
      <c r="H7" t="str">
        <f>_xlfn.CONCAT(F$8," -  ",F$7)</f>
        <v>shwet -  ARC</v>
      </c>
    </row>
    <row r="8" spans="4:8" x14ac:dyDescent="0.3">
      <c r="F8" t="s">
        <v>7</v>
      </c>
    </row>
    <row r="10" spans="4:8" x14ac:dyDescent="0.3">
      <c r="D10" t="s">
        <v>8</v>
      </c>
      <c r="F10" t="s">
        <v>9</v>
      </c>
      <c r="H10" t="str">
        <f>CLEAN(F10)</f>
        <v>shwet- Arc</v>
      </c>
    </row>
    <row r="11" spans="4:8" x14ac:dyDescent="0.3">
      <c r="H11" t="s">
        <v>6</v>
      </c>
    </row>
    <row r="12" spans="4:8" x14ac:dyDescent="0.3">
      <c r="D12" t="s">
        <v>10</v>
      </c>
      <c r="H12" t="b">
        <f>EXACT(H5,H10)</f>
        <v>0</v>
      </c>
    </row>
    <row r="14" spans="4:8" x14ac:dyDescent="0.3">
      <c r="D14" t="s">
        <v>11</v>
      </c>
      <c r="F14" t="s">
        <v>9</v>
      </c>
      <c r="H14">
        <f>FIND("h",F14)</f>
        <v>2</v>
      </c>
    </row>
    <row r="15" spans="4:8" x14ac:dyDescent="0.3">
      <c r="F15" t="s">
        <v>12</v>
      </c>
      <c r="H15">
        <f>FIND("e",F14,2)</f>
        <v>4</v>
      </c>
    </row>
    <row r="17" spans="4:8" x14ac:dyDescent="0.3">
      <c r="D17" t="s">
        <v>13</v>
      </c>
      <c r="F17" t="s">
        <v>9</v>
      </c>
      <c r="H17" t="str">
        <f>LEFT(F17,4)</f>
        <v>shwe</v>
      </c>
    </row>
    <row r="19" spans="4:8" x14ac:dyDescent="0.3">
      <c r="D19" t="s">
        <v>14</v>
      </c>
      <c r="F19" t="s">
        <v>9</v>
      </c>
      <c r="H19">
        <f>SEARCH("w",F19)</f>
        <v>3</v>
      </c>
    </row>
    <row r="21" spans="4:8" x14ac:dyDescent="0.3">
      <c r="D21" t="s">
        <v>15</v>
      </c>
      <c r="F21" t="s">
        <v>9</v>
      </c>
      <c r="H21" t="str">
        <f>RIGHT(F21,5)</f>
        <v>- Arc</v>
      </c>
    </row>
    <row r="23" spans="4:8" x14ac:dyDescent="0.3">
      <c r="D23" t="s">
        <v>16</v>
      </c>
      <c r="F23" t="s">
        <v>9</v>
      </c>
      <c r="H23" t="str">
        <f>MID(F23,4,2)</f>
        <v>et</v>
      </c>
    </row>
    <row r="25" spans="4:8" x14ac:dyDescent="0.3">
      <c r="D25" t="s">
        <v>17</v>
      </c>
      <c r="F25" t="s">
        <v>9</v>
      </c>
      <c r="H25" t="str">
        <f>LOWER(F25)</f>
        <v>shwet- arc</v>
      </c>
    </row>
    <row r="27" spans="4:8" x14ac:dyDescent="0.3">
      <c r="D27" t="s">
        <v>18</v>
      </c>
      <c r="F27" t="s">
        <v>9</v>
      </c>
      <c r="H27" t="str">
        <f>UPPER(F27)</f>
        <v>SHWET- ARC</v>
      </c>
    </row>
    <row r="29" spans="4:8" x14ac:dyDescent="0.3">
      <c r="D29" t="s">
        <v>19</v>
      </c>
      <c r="F29" t="s">
        <v>9</v>
      </c>
      <c r="H29">
        <f>LEN(F29)</f>
        <v>10</v>
      </c>
    </row>
    <row r="31" spans="4:8" x14ac:dyDescent="0.3">
      <c r="D31" t="s">
        <v>20</v>
      </c>
      <c r="F31" t="s">
        <v>9</v>
      </c>
      <c r="H31" t="str">
        <f>REPLACE(F31,1,5,"shw")</f>
        <v>shw- Arc</v>
      </c>
    </row>
    <row r="32" spans="4:8" x14ac:dyDescent="0.3">
      <c r="H32" t="str">
        <f>REPLACE(F31,5,1,"XYZ")</f>
        <v>shweXYZ- Arc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6A60-E297-416D-BDD6-C52130D6EA06}">
  <dimension ref="B3:K71"/>
  <sheetViews>
    <sheetView tabSelected="1" topLeftCell="A43" workbookViewId="0">
      <selection activeCell="F58" sqref="F58"/>
    </sheetView>
  </sheetViews>
  <sheetFormatPr defaultRowHeight="14.4" x14ac:dyDescent="0.3"/>
  <cols>
    <col min="3" max="3" width="13.5546875" customWidth="1"/>
    <col min="4" max="4" width="42.88671875" bestFit="1" customWidth="1"/>
    <col min="5" max="5" width="14.88671875" bestFit="1" customWidth="1"/>
    <col min="6" max="6" width="15.44140625" bestFit="1" customWidth="1"/>
    <col min="9" max="9" width="9.77734375" bestFit="1" customWidth="1"/>
    <col min="11" max="11" width="29" bestFit="1" customWidth="1"/>
  </cols>
  <sheetData>
    <row r="3" spans="2:6" x14ac:dyDescent="0.3">
      <c r="D3" s="4" t="s">
        <v>76</v>
      </c>
    </row>
    <row r="5" spans="2:6" x14ac:dyDescent="0.3">
      <c r="B5" s="6" t="s">
        <v>75</v>
      </c>
      <c r="C5" s="6" t="s">
        <v>21</v>
      </c>
      <c r="D5" s="6" t="s">
        <v>23</v>
      </c>
      <c r="E5" s="6" t="s">
        <v>24</v>
      </c>
      <c r="F5" s="6" t="s">
        <v>2</v>
      </c>
    </row>
    <row r="6" spans="2:6" x14ac:dyDescent="0.3">
      <c r="B6" s="7"/>
      <c r="C6" s="7"/>
      <c r="D6" s="7"/>
      <c r="E6" s="7"/>
      <c r="F6" s="7"/>
    </row>
    <row r="7" spans="2:6" x14ac:dyDescent="0.3">
      <c r="B7" s="8">
        <v>1</v>
      </c>
      <c r="C7" s="7" t="s">
        <v>22</v>
      </c>
      <c r="D7" s="7" t="s">
        <v>30</v>
      </c>
      <c r="E7" s="8" t="s">
        <v>25</v>
      </c>
      <c r="F7" s="8" t="str">
        <f>TRIM($E7)</f>
        <v>Excel</v>
      </c>
    </row>
    <row r="8" spans="2:6" x14ac:dyDescent="0.3">
      <c r="B8" s="7"/>
      <c r="C8" s="7"/>
      <c r="D8" s="7"/>
      <c r="E8" s="7" t="s">
        <v>26</v>
      </c>
      <c r="F8" s="7" t="str">
        <f>TRIM($E8)</f>
        <v>Shwet</v>
      </c>
    </row>
    <row r="9" spans="2:6" x14ac:dyDescent="0.3">
      <c r="B9" s="7"/>
      <c r="C9" s="7"/>
      <c r="D9" s="7"/>
      <c r="E9" s="7" t="s">
        <v>27</v>
      </c>
      <c r="F9" s="7" t="str">
        <f>TRIM($E9)</f>
        <v>Data Analyst</v>
      </c>
    </row>
    <row r="10" spans="2:6" x14ac:dyDescent="0.3">
      <c r="B10" s="7"/>
      <c r="C10" s="7"/>
      <c r="D10" s="7"/>
      <c r="E10" s="7" t="s">
        <v>77</v>
      </c>
      <c r="F10" s="7" t="str">
        <f>TRIM($E10)</f>
        <v>Hello World</v>
      </c>
    </row>
    <row r="11" spans="2:6" x14ac:dyDescent="0.3">
      <c r="B11" s="7"/>
      <c r="C11" s="7"/>
      <c r="D11" s="7"/>
      <c r="E11" s="7" t="s">
        <v>28</v>
      </c>
      <c r="F11" s="7" t="str">
        <f>TRIM($E11)</f>
        <v>Shwet Domde</v>
      </c>
    </row>
    <row r="12" spans="2:6" x14ac:dyDescent="0.3">
      <c r="B12" s="2"/>
      <c r="C12" s="2"/>
      <c r="D12" s="2"/>
      <c r="E12" s="2"/>
      <c r="F12" s="2"/>
    </row>
    <row r="13" spans="2:6" x14ac:dyDescent="0.3">
      <c r="B13" s="9">
        <v>2</v>
      </c>
      <c r="C13" s="10" t="s">
        <v>29</v>
      </c>
      <c r="D13" s="10" t="s">
        <v>31</v>
      </c>
      <c r="E13" s="10" t="s">
        <v>32</v>
      </c>
      <c r="F13" s="10" t="str">
        <f>PROPER($E13)</f>
        <v>Excel</v>
      </c>
    </row>
    <row r="14" spans="2:6" x14ac:dyDescent="0.3">
      <c r="B14" s="10"/>
      <c r="C14" s="10"/>
      <c r="D14" s="10"/>
      <c r="E14" s="10" t="s">
        <v>33</v>
      </c>
      <c r="F14" s="10" t="str">
        <f>PROPER($E14)</f>
        <v>Data Analyst</v>
      </c>
    </row>
    <row r="15" spans="2:6" x14ac:dyDescent="0.3">
      <c r="B15" s="10"/>
      <c r="C15" s="10"/>
      <c r="D15" s="10"/>
      <c r="E15" s="10" t="s">
        <v>34</v>
      </c>
      <c r="F15" s="10" t="str">
        <f>PROPER($E15)</f>
        <v>Shwet Domde</v>
      </c>
    </row>
    <row r="16" spans="2:6" x14ac:dyDescent="0.3">
      <c r="B16" s="10"/>
      <c r="C16" s="10"/>
      <c r="D16" s="10"/>
      <c r="E16" s="10" t="s">
        <v>35</v>
      </c>
      <c r="F16" s="10" t="str">
        <f>PROPER($E16)</f>
        <v>Nagpur City</v>
      </c>
    </row>
    <row r="17" spans="2:11" x14ac:dyDescent="0.3">
      <c r="B17" s="10"/>
      <c r="C17" s="10"/>
      <c r="D17" s="10"/>
      <c r="E17" s="10" t="s">
        <v>36</v>
      </c>
      <c r="F17" s="10" t="str">
        <f>PROPER($E17)</f>
        <v>Machine Learning</v>
      </c>
    </row>
    <row r="18" spans="2:11" x14ac:dyDescent="0.3">
      <c r="B18" s="2"/>
      <c r="C18" s="2"/>
      <c r="D18" s="2"/>
      <c r="E18" s="2"/>
      <c r="F18" s="2"/>
      <c r="H18" s="3" t="s">
        <v>41</v>
      </c>
      <c r="I18" s="3" t="s">
        <v>38</v>
      </c>
    </row>
    <row r="19" spans="2:11" x14ac:dyDescent="0.3">
      <c r="B19" s="8">
        <v>3</v>
      </c>
      <c r="C19" s="7" t="s">
        <v>37</v>
      </c>
      <c r="D19" s="7" t="s">
        <v>47</v>
      </c>
      <c r="E19" s="7" t="s">
        <v>40</v>
      </c>
      <c r="F19" s="7" t="str">
        <f>SUBSTITUTE(E19,$H$19,$I19,1)</f>
        <v>Orange juice</v>
      </c>
      <c r="H19" s="2" t="s">
        <v>42</v>
      </c>
      <c r="I19" s="2" t="s">
        <v>39</v>
      </c>
      <c r="K19" s="2" t="s">
        <v>48</v>
      </c>
    </row>
    <row r="20" spans="2:11" x14ac:dyDescent="0.3">
      <c r="B20" s="7"/>
      <c r="C20" s="7"/>
      <c r="D20" s="7"/>
      <c r="E20" s="7" t="s">
        <v>40</v>
      </c>
      <c r="F20" s="7" t="str">
        <f>SUBSTITUTE(E20,$H$19,$I20,1)</f>
        <v>Banana juice</v>
      </c>
      <c r="I20" s="2" t="s">
        <v>43</v>
      </c>
    </row>
    <row r="21" spans="2:11" x14ac:dyDescent="0.3">
      <c r="B21" s="7"/>
      <c r="C21" s="7"/>
      <c r="D21" s="7"/>
      <c r="E21" s="7" t="s">
        <v>40</v>
      </c>
      <c r="F21" s="7" t="str">
        <f>SUBSTITUTE(E21,$H$19,$I21,1)</f>
        <v>strawberry juice</v>
      </c>
      <c r="I21" s="2" t="s">
        <v>44</v>
      </c>
    </row>
    <row r="22" spans="2:11" x14ac:dyDescent="0.3">
      <c r="B22" s="7"/>
      <c r="C22" s="7"/>
      <c r="D22" s="7"/>
      <c r="E22" s="7" t="s">
        <v>40</v>
      </c>
      <c r="F22" s="7" t="str">
        <f>SUBSTITUTE(E22,$H$19,$I22,1)</f>
        <v>grapes juice</v>
      </c>
      <c r="I22" s="2" t="s">
        <v>46</v>
      </c>
    </row>
    <row r="23" spans="2:11" x14ac:dyDescent="0.3">
      <c r="B23" s="7"/>
      <c r="C23" s="7"/>
      <c r="D23" s="7"/>
      <c r="E23" s="7" t="s">
        <v>40</v>
      </c>
      <c r="F23" s="7" t="str">
        <f>SUBSTITUTE(E23,$H$19,$I23,1)</f>
        <v>mango juice</v>
      </c>
      <c r="I23" s="2" t="s">
        <v>45</v>
      </c>
    </row>
    <row r="24" spans="2:11" x14ac:dyDescent="0.3">
      <c r="B24" s="2"/>
      <c r="C24" s="2"/>
      <c r="D24" s="2"/>
      <c r="E24" s="2"/>
      <c r="F24" s="2"/>
    </row>
    <row r="25" spans="2:11" x14ac:dyDescent="0.3">
      <c r="B25" s="9">
        <v>4</v>
      </c>
      <c r="C25" s="10" t="s">
        <v>49</v>
      </c>
      <c r="D25" s="10" t="s">
        <v>50</v>
      </c>
      <c r="E25" s="10" t="s">
        <v>51</v>
      </c>
      <c r="F25" s="10" t="str">
        <f>REPT($E25,3)</f>
        <v>HiHiHi</v>
      </c>
    </row>
    <row r="26" spans="2:11" x14ac:dyDescent="0.3">
      <c r="B26" s="9"/>
      <c r="C26" s="10"/>
      <c r="D26" s="10"/>
      <c r="E26" s="10" t="s">
        <v>52</v>
      </c>
      <c r="F26" s="10" t="str">
        <f>REPT($E26,3)</f>
        <v>***</v>
      </c>
    </row>
    <row r="27" spans="2:11" x14ac:dyDescent="0.3">
      <c r="B27" s="10"/>
      <c r="C27" s="10"/>
      <c r="D27" s="10"/>
      <c r="E27" s="10" t="s">
        <v>53</v>
      </c>
      <c r="F27" s="10" t="str">
        <f>REPT($E27,3)</f>
        <v xml:space="preserve">Excel Excel Excel </v>
      </c>
    </row>
    <row r="28" spans="2:11" x14ac:dyDescent="0.3">
      <c r="B28" s="10"/>
      <c r="C28" s="10"/>
      <c r="D28" s="10"/>
      <c r="E28" s="10" t="s">
        <v>54</v>
      </c>
      <c r="F28" s="10" t="str">
        <f>REPT($E28,3)</f>
        <v>AAA</v>
      </c>
    </row>
    <row r="29" spans="2:11" x14ac:dyDescent="0.3">
      <c r="B29" s="10"/>
      <c r="C29" s="10"/>
      <c r="D29" s="10"/>
      <c r="E29" s="10" t="s">
        <v>55</v>
      </c>
      <c r="F29" s="10" t="str">
        <f>REPT($E29,3)</f>
        <v>GoGoGo</v>
      </c>
    </row>
    <row r="30" spans="2:11" x14ac:dyDescent="0.3">
      <c r="B30" s="5"/>
      <c r="C30" s="5"/>
      <c r="D30" s="5"/>
      <c r="E30" s="5"/>
      <c r="F30" s="5"/>
    </row>
    <row r="31" spans="2:11" x14ac:dyDescent="0.3">
      <c r="B31" s="11">
        <v>5</v>
      </c>
      <c r="C31" s="12" t="s">
        <v>56</v>
      </c>
      <c r="D31" s="12" t="s">
        <v>57</v>
      </c>
      <c r="E31" s="12" t="s">
        <v>7</v>
      </c>
      <c r="F31" s="12" t="str">
        <f>_xlfn.TEXTJOIN(",",TRUE,$E31,$E32)</f>
        <v>shwet,excel</v>
      </c>
    </row>
    <row r="32" spans="2:11" x14ac:dyDescent="0.3">
      <c r="B32" s="12"/>
      <c r="C32" s="12"/>
      <c r="D32" s="12"/>
      <c r="E32" s="12" t="s">
        <v>32</v>
      </c>
      <c r="F32" s="12"/>
    </row>
    <row r="33" spans="2:6" x14ac:dyDescent="0.3">
      <c r="B33" s="12"/>
      <c r="C33" s="12"/>
      <c r="D33" s="12"/>
      <c r="E33" s="11">
        <v>7</v>
      </c>
      <c r="F33" s="12" t="str">
        <f>_xlfn.TEXTJOIN("-",TRUE,E33,E34)</f>
        <v>7-1</v>
      </c>
    </row>
    <row r="34" spans="2:6" x14ac:dyDescent="0.3">
      <c r="B34" s="12"/>
      <c r="C34" s="12"/>
      <c r="D34" s="12"/>
      <c r="E34" s="11">
        <v>1</v>
      </c>
      <c r="F34" s="12"/>
    </row>
    <row r="35" spans="2:6" x14ac:dyDescent="0.3">
      <c r="B35" s="12"/>
      <c r="C35" s="12"/>
      <c r="D35" s="12"/>
      <c r="E35" s="12" t="s">
        <v>58</v>
      </c>
      <c r="F35" s="12" t="str">
        <f>_xlfn.TEXTJOIN(" ",TRUE,$E35,$E36)</f>
        <v>Data Analyst</v>
      </c>
    </row>
    <row r="36" spans="2:6" x14ac:dyDescent="0.3">
      <c r="B36" s="12"/>
      <c r="C36" s="12"/>
      <c r="D36" s="12"/>
      <c r="E36" s="12" t="s">
        <v>59</v>
      </c>
      <c r="F36" s="12"/>
    </row>
    <row r="37" spans="2:6" x14ac:dyDescent="0.3">
      <c r="B37" s="12"/>
      <c r="C37" s="12"/>
      <c r="D37" s="12"/>
      <c r="E37" s="12" t="s">
        <v>54</v>
      </c>
      <c r="F37" s="12" t="str">
        <f>_xlfn.TEXTJOIN(",",TRUE,$E37,$E38)</f>
        <v>A,B</v>
      </c>
    </row>
    <row r="38" spans="2:6" x14ac:dyDescent="0.3">
      <c r="B38" s="12"/>
      <c r="C38" s="12"/>
      <c r="D38" s="12"/>
      <c r="E38" s="12" t="s">
        <v>60</v>
      </c>
      <c r="F38" s="12"/>
    </row>
    <row r="39" spans="2:6" x14ac:dyDescent="0.3">
      <c r="B39" s="12"/>
      <c r="C39" s="12"/>
      <c r="D39" s="12"/>
      <c r="E39" s="11">
        <v>10</v>
      </c>
      <c r="F39" s="12" t="str">
        <f>_xlfn.TEXTJOIN("/",TRUE,$E39,$E40)</f>
        <v>10/31</v>
      </c>
    </row>
    <row r="40" spans="2:6" x14ac:dyDescent="0.3">
      <c r="B40" s="12"/>
      <c r="C40" s="12"/>
      <c r="D40" s="12"/>
      <c r="E40" s="11">
        <v>31</v>
      </c>
      <c r="F40" s="12"/>
    </row>
    <row r="41" spans="2:6" x14ac:dyDescent="0.3">
      <c r="B41" s="2"/>
      <c r="C41" s="2"/>
      <c r="D41" s="2"/>
      <c r="E41" s="2"/>
      <c r="F41" s="2"/>
    </row>
    <row r="42" spans="2:6" x14ac:dyDescent="0.3">
      <c r="B42" s="9">
        <v>6</v>
      </c>
      <c r="C42" s="10" t="s">
        <v>3</v>
      </c>
      <c r="D42" s="10" t="s">
        <v>61</v>
      </c>
      <c r="E42" s="9">
        <v>67</v>
      </c>
      <c r="F42" s="10" t="str">
        <f>CHAR($E42)</f>
        <v>C</v>
      </c>
    </row>
    <row r="43" spans="2:6" x14ac:dyDescent="0.3">
      <c r="B43" s="10"/>
      <c r="C43" s="10"/>
      <c r="D43" s="10"/>
      <c r="E43" s="9">
        <v>68</v>
      </c>
      <c r="F43" s="10" t="str">
        <f>CHAR($E43)</f>
        <v>D</v>
      </c>
    </row>
    <row r="44" spans="2:6" x14ac:dyDescent="0.3">
      <c r="B44" s="10"/>
      <c r="C44" s="10"/>
      <c r="D44" s="10"/>
      <c r="E44" s="9">
        <v>97</v>
      </c>
      <c r="F44" s="10" t="str">
        <f>CHAR($E44)</f>
        <v>a</v>
      </c>
    </row>
    <row r="45" spans="2:6" x14ac:dyDescent="0.3">
      <c r="B45" s="10"/>
      <c r="C45" s="10"/>
      <c r="D45" s="10"/>
      <c r="E45" s="9">
        <v>48</v>
      </c>
      <c r="F45" s="10" t="str">
        <f>CHAR($E45)</f>
        <v>0</v>
      </c>
    </row>
    <row r="46" spans="2:6" x14ac:dyDescent="0.3">
      <c r="B46" s="10"/>
      <c r="C46" s="10"/>
      <c r="D46" s="10"/>
      <c r="E46" s="9">
        <v>33</v>
      </c>
      <c r="F46" s="10" t="str">
        <f>CHAR($E46)</f>
        <v>!</v>
      </c>
    </row>
    <row r="47" spans="2:6" x14ac:dyDescent="0.3">
      <c r="B47" s="2"/>
      <c r="C47" s="2"/>
      <c r="D47" s="2"/>
      <c r="E47" s="2"/>
      <c r="F47" s="2"/>
    </row>
    <row r="48" spans="2:6" x14ac:dyDescent="0.3">
      <c r="B48" s="8">
        <v>7</v>
      </c>
      <c r="C48" s="7" t="s">
        <v>62</v>
      </c>
      <c r="D48" s="7" t="s">
        <v>63</v>
      </c>
      <c r="E48" s="8">
        <v>200</v>
      </c>
      <c r="F48" s="7" t="str">
        <f>DOLLAR($E48)</f>
        <v>₹ 200.00</v>
      </c>
    </row>
    <row r="49" spans="2:6" x14ac:dyDescent="0.3">
      <c r="B49" s="7"/>
      <c r="C49" s="7"/>
      <c r="D49" s="7"/>
      <c r="E49" s="8">
        <v>30</v>
      </c>
      <c r="F49" s="7" t="str">
        <f>DOLLAR($E49)</f>
        <v>₹ 30.00</v>
      </c>
    </row>
    <row r="50" spans="2:6" x14ac:dyDescent="0.3">
      <c r="B50" s="7"/>
      <c r="C50" s="7"/>
      <c r="D50" s="7"/>
      <c r="E50" s="8">
        <v>400</v>
      </c>
      <c r="F50" s="7" t="str">
        <f>DOLLAR($E50)</f>
        <v>₹ 400.00</v>
      </c>
    </row>
    <row r="51" spans="2:6" x14ac:dyDescent="0.3">
      <c r="B51" s="7"/>
      <c r="C51" s="7"/>
      <c r="D51" s="7"/>
      <c r="E51" s="8">
        <v>2000</v>
      </c>
      <c r="F51" s="7" t="str">
        <f>DOLLAR($E51)</f>
        <v>₹ 2,000.00</v>
      </c>
    </row>
    <row r="52" spans="2:6" x14ac:dyDescent="0.3">
      <c r="B52" s="7"/>
      <c r="C52" s="7"/>
      <c r="D52" s="7"/>
      <c r="E52" s="8">
        <v>1000</v>
      </c>
      <c r="F52" s="7" t="str">
        <f>DOLLAR($E52)</f>
        <v>₹ 1,000.00</v>
      </c>
    </row>
    <row r="53" spans="2:6" x14ac:dyDescent="0.3">
      <c r="B53" s="2"/>
      <c r="C53" s="2"/>
      <c r="D53" s="2"/>
      <c r="E53" s="2"/>
      <c r="F53" s="2"/>
    </row>
    <row r="54" spans="2:6" x14ac:dyDescent="0.3">
      <c r="B54" s="9">
        <v>8</v>
      </c>
      <c r="C54" s="10" t="s">
        <v>64</v>
      </c>
      <c r="D54" s="10" t="s">
        <v>65</v>
      </c>
      <c r="E54" s="9">
        <v>100.126</v>
      </c>
      <c r="F54" s="10" t="str">
        <f>FIXED($E54,2)</f>
        <v>100.13</v>
      </c>
    </row>
    <row r="55" spans="2:6" x14ac:dyDescent="0.3">
      <c r="B55" s="10"/>
      <c r="C55" s="10"/>
      <c r="D55" s="10"/>
      <c r="E55" s="9">
        <v>1000.5</v>
      </c>
      <c r="F55" s="10" t="str">
        <f>FIXED($E55,1)</f>
        <v>1,000.5</v>
      </c>
    </row>
    <row r="56" spans="2:6" x14ac:dyDescent="0.3">
      <c r="B56" s="10"/>
      <c r="C56" s="10"/>
      <c r="D56" s="10"/>
      <c r="E56" s="9">
        <v>2500.8000000000002</v>
      </c>
      <c r="F56" s="10" t="str">
        <f>FIXED($E56,0)</f>
        <v>2,501</v>
      </c>
    </row>
    <row r="57" spans="2:6" x14ac:dyDescent="0.3">
      <c r="B57" s="10"/>
      <c r="C57" s="10"/>
      <c r="D57" s="10"/>
      <c r="E57" s="9">
        <v>75.45</v>
      </c>
      <c r="F57" s="10" t="str">
        <f>FIXED($E57,2)</f>
        <v>75.45</v>
      </c>
    </row>
    <row r="58" spans="2:6" x14ac:dyDescent="0.3">
      <c r="B58" s="10"/>
      <c r="C58" s="10"/>
      <c r="D58" s="10"/>
      <c r="E58" s="9">
        <v>500.9</v>
      </c>
      <c r="F58" s="10" t="str">
        <f>FIXED($E58,2)</f>
        <v>500.90</v>
      </c>
    </row>
    <row r="59" spans="2:6" x14ac:dyDescent="0.3">
      <c r="B59" s="2"/>
      <c r="C59" s="2"/>
      <c r="D59" s="2"/>
      <c r="E59" s="2"/>
      <c r="F59" s="2"/>
    </row>
    <row r="60" spans="2:6" x14ac:dyDescent="0.3">
      <c r="B60" s="8">
        <v>9</v>
      </c>
      <c r="C60" s="7" t="s">
        <v>66</v>
      </c>
      <c r="D60" s="7" t="s">
        <v>67</v>
      </c>
      <c r="E60" s="7" t="s">
        <v>68</v>
      </c>
      <c r="F60" s="7" t="str">
        <f>_xlfn.TEXTBEFORE($E60,"-")</f>
        <v>shwet</v>
      </c>
    </row>
    <row r="61" spans="2:6" x14ac:dyDescent="0.3">
      <c r="B61" s="7"/>
      <c r="C61" s="7"/>
      <c r="D61" s="7"/>
      <c r="E61" s="13" t="s">
        <v>69</v>
      </c>
      <c r="F61" s="7" t="str">
        <f>_xlfn.TEXTBEFORE(E61,",")</f>
        <v>apple</v>
      </c>
    </row>
    <row r="62" spans="2:6" x14ac:dyDescent="0.3">
      <c r="B62" s="7"/>
      <c r="C62" s="7"/>
      <c r="D62" s="7"/>
      <c r="E62" s="7" t="s">
        <v>70</v>
      </c>
      <c r="F62" s="7" t="str">
        <f>_xlfn.TEXTBEFORE(E62," ")</f>
        <v>helllo</v>
      </c>
    </row>
    <row r="63" spans="2:6" x14ac:dyDescent="0.3">
      <c r="B63" s="7"/>
      <c r="C63" s="7"/>
      <c r="D63" s="7"/>
      <c r="E63" s="7" t="s">
        <v>71</v>
      </c>
      <c r="F63" s="7" t="str">
        <f>_xlfn.TEXTBEFORE($E63,"-")</f>
        <v>Data</v>
      </c>
    </row>
    <row r="64" spans="2:6" x14ac:dyDescent="0.3">
      <c r="B64" s="7"/>
      <c r="C64" s="7"/>
      <c r="D64" s="7"/>
      <c r="E64" s="7" t="s">
        <v>72</v>
      </c>
      <c r="F64" s="7" t="str">
        <f>_xlfn.TEXTBEFORE($E64,"-")</f>
        <v>Business</v>
      </c>
    </row>
    <row r="65" spans="2:6" x14ac:dyDescent="0.3">
      <c r="B65" s="2"/>
      <c r="C65" s="2"/>
      <c r="D65" s="2"/>
      <c r="E65" s="2"/>
      <c r="F65" s="2"/>
    </row>
    <row r="66" spans="2:6" x14ac:dyDescent="0.3">
      <c r="B66" s="9">
        <v>10</v>
      </c>
      <c r="C66" s="10" t="s">
        <v>73</v>
      </c>
      <c r="D66" s="10" t="s">
        <v>74</v>
      </c>
      <c r="E66" s="14">
        <v>9731</v>
      </c>
      <c r="F66" s="14" t="str">
        <f>_xlfn.UNICHAR($E66)</f>
        <v>☃</v>
      </c>
    </row>
    <row r="67" spans="2:6" x14ac:dyDescent="0.3">
      <c r="B67" s="10"/>
      <c r="C67" s="10"/>
      <c r="D67" s="10"/>
      <c r="E67" s="14">
        <v>9733</v>
      </c>
      <c r="F67" s="14" t="str">
        <f>_xlfn.UNICHAR($E67)</f>
        <v>★</v>
      </c>
    </row>
    <row r="68" spans="2:6" x14ac:dyDescent="0.3">
      <c r="B68" s="10"/>
      <c r="C68" s="10"/>
      <c r="D68" s="10"/>
      <c r="E68" s="14">
        <v>9735</v>
      </c>
      <c r="F68" s="14" t="str">
        <f>_xlfn.UNICHAR($E68)</f>
        <v>☇</v>
      </c>
    </row>
    <row r="69" spans="2:6" x14ac:dyDescent="0.3">
      <c r="B69" s="10"/>
      <c r="C69" s="10"/>
      <c r="D69" s="10"/>
      <c r="E69" s="14">
        <v>9810</v>
      </c>
      <c r="F69" s="14" t="str">
        <f>_xlfn.UNICHAR($E69)</f>
        <v>♒</v>
      </c>
    </row>
    <row r="70" spans="2:6" x14ac:dyDescent="0.3">
      <c r="B70" s="10"/>
      <c r="C70" s="10"/>
      <c r="D70" s="10"/>
      <c r="E70" s="14">
        <v>9834</v>
      </c>
      <c r="F70" s="14" t="str">
        <f>_xlfn.UNICHAR($E70)</f>
        <v>♪</v>
      </c>
    </row>
    <row r="71" spans="2:6" x14ac:dyDescent="0.3">
      <c r="B71" s="10"/>
      <c r="C71" s="10"/>
      <c r="D71" s="10"/>
      <c r="E71" s="14">
        <v>9844</v>
      </c>
      <c r="F71" s="14" t="str">
        <f>_xlfn.UNICHAR($E71)</f>
        <v>♴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Domde</dc:creator>
  <cp:lastModifiedBy>Shwet Domde</cp:lastModifiedBy>
  <dcterms:created xsi:type="dcterms:W3CDTF">2015-06-05T18:17:20Z</dcterms:created>
  <dcterms:modified xsi:type="dcterms:W3CDTF">2026-03-08T10:42:08Z</dcterms:modified>
</cp:coreProperties>
</file>